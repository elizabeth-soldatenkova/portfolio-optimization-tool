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Pr1" sheetId="1" r:id="rId1"/>
    <sheet name="Pr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" l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</calcChain>
</file>

<file path=xl/sharedStrings.xml><?xml version="1.0" encoding="utf-8"?>
<sst xmlns="http://schemas.openxmlformats.org/spreadsheetml/2006/main" count="27" uniqueCount="14">
  <si>
    <t xml:space="preserve"> </t>
  </si>
  <si>
    <t>CAPEX</t>
  </si>
  <si>
    <t>OPEX</t>
  </si>
  <si>
    <t>FCF</t>
  </si>
  <si>
    <t>Mandatory to Start</t>
  </si>
  <si>
    <t>Earliest Start Year</t>
  </si>
  <si>
    <t>Latest Start Year</t>
  </si>
  <si>
    <t>Oil Production</t>
  </si>
  <si>
    <t>Liquid Production</t>
  </si>
  <si>
    <t>Gas Production</t>
  </si>
  <si>
    <t>Well Commissioning</t>
  </si>
  <si>
    <t>Average Producing Well Stock</t>
  </si>
  <si>
    <t>Revenue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</si>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</sst>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workbookViewId="0">
      <selection activeCell="B1" sqref="B1"/>
    </sheetView>
  </sheetViews>
  <sheetFormatPr defaultRowHeight="14.4" x14ac:dyDescent="0.55000000000000004"/>
  <cols>
    <col min="1" max="1" width="26.3125" customWidth="1"/>
    <col min="2" max="2" width="10.68359375" bestFit="1" customWidth="1"/>
    <col min="6" max="6" width="10.68359375" bestFit="1" customWidth="1"/>
  </cols>
  <sheetData>
    <row r="1" spans="1:38" x14ac:dyDescent="0.55000000000000004">
      <c r="A1" s="1" t="s">
        <v>4</v>
      </c>
      <c r="B1" s="2" t="s">
        <v>13</v>
      </c>
    </row>
    <row r="2" spans="1:38" x14ac:dyDescent="0.55000000000000004">
      <c r="A2" s="1" t="s">
        <v>5</v>
      </c>
      <c r="B2" s="2">
        <v>2025</v>
      </c>
    </row>
    <row r="3" spans="1:38" x14ac:dyDescent="0.55000000000000004">
      <c r="A3" s="1" t="s">
        <v>6</v>
      </c>
      <c r="B3" s="2">
        <v>2030</v>
      </c>
    </row>
    <row r="5" spans="1:38" x14ac:dyDescent="0.55000000000000004">
      <c r="A5" s="1"/>
      <c r="B5" s="1">
        <v>2025</v>
      </c>
      <c r="C5" s="1">
        <v>2026</v>
      </c>
      <c r="D5" s="1">
        <v>2027</v>
      </c>
      <c r="E5" s="1">
        <v>2028</v>
      </c>
      <c r="F5" s="1">
        <v>2029</v>
      </c>
      <c r="G5" s="1">
        <v>2030</v>
      </c>
      <c r="H5" s="1">
        <v>2031</v>
      </c>
      <c r="I5" s="1">
        <v>2032</v>
      </c>
      <c r="J5" s="1">
        <v>2033</v>
      </c>
      <c r="K5" s="1">
        <v>2034</v>
      </c>
      <c r="L5" s="1">
        <v>2035</v>
      </c>
      <c r="M5" s="1">
        <v>2036</v>
      </c>
      <c r="N5" s="1">
        <v>2037</v>
      </c>
      <c r="O5" s="1">
        <v>2038</v>
      </c>
      <c r="P5" s="1">
        <v>2039</v>
      </c>
      <c r="Q5" s="1">
        <v>2040</v>
      </c>
      <c r="R5" s="1">
        <v>2041</v>
      </c>
      <c r="S5" s="1">
        <v>2042</v>
      </c>
      <c r="T5" s="1">
        <v>2043</v>
      </c>
      <c r="U5" s="1">
        <v>2044</v>
      </c>
      <c r="V5" s="1">
        <v>2045</v>
      </c>
      <c r="W5" s="1">
        <v>2046</v>
      </c>
      <c r="X5" s="1">
        <v>2047</v>
      </c>
      <c r="Y5" s="1">
        <v>2048</v>
      </c>
      <c r="Z5" s="1">
        <v>2049</v>
      </c>
      <c r="AA5" s="1">
        <v>2050</v>
      </c>
      <c r="AB5" s="1">
        <v>2051</v>
      </c>
      <c r="AC5" s="1">
        <v>2052</v>
      </c>
      <c r="AD5" s="1">
        <v>2053</v>
      </c>
      <c r="AE5" s="1">
        <v>2054</v>
      </c>
      <c r="AF5" s="1">
        <v>2055</v>
      </c>
      <c r="AG5" s="1">
        <v>2056</v>
      </c>
      <c r="AH5" s="1">
        <v>2057</v>
      </c>
      <c r="AI5" s="1">
        <v>2058</v>
      </c>
      <c r="AJ5" s="1">
        <v>2059</v>
      </c>
      <c r="AK5" s="1">
        <v>2060</v>
      </c>
      <c r="AL5" s="1"/>
    </row>
    <row r="6" spans="1:38" x14ac:dyDescent="0.55000000000000004">
      <c r="A6" s="1" t="s">
        <v>7</v>
      </c>
      <c r="B6" s="2">
        <v>5000000</v>
      </c>
      <c r="C6" s="2">
        <v>5000000</v>
      </c>
      <c r="D6" s="2">
        <v>5000000</v>
      </c>
      <c r="E6" s="2">
        <v>5000000</v>
      </c>
      <c r="F6" s="2">
        <v>5000000</v>
      </c>
      <c r="G6" s="2">
        <v>5000000</v>
      </c>
      <c r="H6" s="2">
        <v>5000000</v>
      </c>
      <c r="I6" s="2">
        <v>5000000</v>
      </c>
      <c r="J6" s="2">
        <v>5000000</v>
      </c>
      <c r="K6" s="2">
        <v>4000000</v>
      </c>
      <c r="L6" s="2">
        <v>4000000</v>
      </c>
      <c r="M6" s="2">
        <v>4000000</v>
      </c>
      <c r="N6" s="2">
        <v>4000000</v>
      </c>
      <c r="O6" s="2">
        <v>4000000</v>
      </c>
      <c r="P6" s="2">
        <v>4000000</v>
      </c>
      <c r="Q6" s="2">
        <v>4000000</v>
      </c>
      <c r="R6" s="2">
        <v>4000000</v>
      </c>
      <c r="S6" s="2">
        <v>4000000</v>
      </c>
      <c r="T6" s="2">
        <v>4000000</v>
      </c>
      <c r="U6" s="2">
        <v>4000000</v>
      </c>
      <c r="V6" s="2">
        <v>4000000</v>
      </c>
      <c r="W6" s="2">
        <v>4000000</v>
      </c>
      <c r="X6" s="2">
        <v>4000000</v>
      </c>
      <c r="Y6" s="2">
        <v>4000000</v>
      </c>
      <c r="Z6" s="2">
        <v>4000000</v>
      </c>
      <c r="AA6" s="2">
        <v>4000000</v>
      </c>
      <c r="AB6" s="2">
        <v>4000000</v>
      </c>
      <c r="AC6" s="2">
        <v>4000000</v>
      </c>
      <c r="AD6" s="2">
        <v>4000000</v>
      </c>
      <c r="AE6" s="2">
        <v>4000000</v>
      </c>
      <c r="AF6" s="2">
        <v>4000000</v>
      </c>
      <c r="AG6" s="2">
        <v>4000000</v>
      </c>
      <c r="AH6" s="2">
        <v>4000000</v>
      </c>
      <c r="AI6" s="2">
        <v>4000000</v>
      </c>
      <c r="AJ6" s="2">
        <v>4000000</v>
      </c>
      <c r="AK6" s="2">
        <v>4000000</v>
      </c>
    </row>
    <row r="7" spans="1:38" x14ac:dyDescent="0.55000000000000004">
      <c r="A7" s="1" t="s">
        <v>8</v>
      </c>
      <c r="B7" s="2">
        <v>0</v>
      </c>
      <c r="C7" s="2">
        <v>882.55822999999998</v>
      </c>
      <c r="D7" s="2">
        <v>1554.5362299999999</v>
      </c>
      <c r="E7" s="2">
        <v>2057.91689</v>
      </c>
      <c r="F7" s="2">
        <v>2344.34348</v>
      </c>
      <c r="G7" s="2">
        <v>2267.2474200000001</v>
      </c>
      <c r="H7" s="2">
        <v>1855.0378900000001</v>
      </c>
      <c r="I7" s="2">
        <v>1607.0613900000001</v>
      </c>
      <c r="J7" s="2">
        <v>1498.95901</v>
      </c>
      <c r="K7" s="2">
        <v>1454.94712</v>
      </c>
      <c r="L7" s="2">
        <v>1445.01259</v>
      </c>
      <c r="M7" s="2">
        <v>1463.8495600000001</v>
      </c>
      <c r="N7" s="2">
        <v>1493.6307099999999</v>
      </c>
      <c r="O7" s="2">
        <v>1541.8732299999999</v>
      </c>
      <c r="P7" s="2">
        <v>1594.8921499999999</v>
      </c>
      <c r="Q7" s="2">
        <v>1649.92191</v>
      </c>
      <c r="R7" s="2">
        <v>1689.69075</v>
      </c>
      <c r="S7" s="2">
        <v>1721.2285300000001</v>
      </c>
      <c r="T7" s="2">
        <v>1734.5686499999999</v>
      </c>
      <c r="U7" s="2">
        <v>1731.29898</v>
      </c>
      <c r="V7" s="2">
        <v>1695.17813</v>
      </c>
      <c r="W7" s="2">
        <v>1646.9160300000001</v>
      </c>
      <c r="X7" s="2">
        <v>1637.24261</v>
      </c>
      <c r="Y7" s="2">
        <v>1641.7265</v>
      </c>
      <c r="Z7" s="2">
        <v>1637.2399600000001</v>
      </c>
      <c r="AA7" s="2">
        <v>1637.2397800000001</v>
      </c>
      <c r="AB7" s="2">
        <v>1477.0981400000001</v>
      </c>
      <c r="AC7" s="2">
        <v>1157.58629</v>
      </c>
      <c r="AD7" s="2">
        <v>846.03966000000003</v>
      </c>
      <c r="AE7" s="2">
        <v>475.74104999999997</v>
      </c>
      <c r="AF7" s="2">
        <v>133.79114999999999</v>
      </c>
      <c r="AG7" s="2">
        <v>1.92858</v>
      </c>
      <c r="AH7" s="2">
        <v>0</v>
      </c>
      <c r="AI7" s="2">
        <v>0</v>
      </c>
      <c r="AJ7" s="2">
        <v>0</v>
      </c>
      <c r="AK7" s="2">
        <v>0</v>
      </c>
    </row>
    <row r="8" spans="1:38" x14ac:dyDescent="0.55000000000000004">
      <c r="A8" s="1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</row>
    <row r="9" spans="1:38" x14ac:dyDescent="0.55000000000000004">
      <c r="A9" s="1" t="s">
        <v>10</v>
      </c>
      <c r="B9" s="2">
        <v>0</v>
      </c>
      <c r="C9" s="2">
        <v>19</v>
      </c>
      <c r="D9" s="2">
        <v>24</v>
      </c>
      <c r="E9" s="2">
        <v>21</v>
      </c>
      <c r="F9" s="2">
        <v>24</v>
      </c>
      <c r="G9" s="2">
        <v>20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</row>
    <row r="10" spans="1:38" x14ac:dyDescent="0.55000000000000004">
      <c r="A10" s="1" t="s">
        <v>11</v>
      </c>
      <c r="B10" s="2">
        <v>0</v>
      </c>
      <c r="C10" s="2">
        <f>C9/2</f>
        <v>9.5</v>
      </c>
      <c r="D10" s="2">
        <f>C10+C9/2+D9/2</f>
        <v>31</v>
      </c>
      <c r="E10" s="2">
        <f t="shared" ref="E10:AA10" si="0">D10+D9/2+E9/2</f>
        <v>53.5</v>
      </c>
      <c r="F10" s="2">
        <f t="shared" si="0"/>
        <v>76</v>
      </c>
      <c r="G10" s="2">
        <f t="shared" si="0"/>
        <v>98</v>
      </c>
      <c r="H10" s="2">
        <f t="shared" si="0"/>
        <v>109.5</v>
      </c>
      <c r="I10" s="2">
        <f t="shared" si="0"/>
        <v>111</v>
      </c>
      <c r="J10" s="2">
        <f t="shared" si="0"/>
        <v>111</v>
      </c>
      <c r="K10" s="2">
        <f t="shared" si="0"/>
        <v>111</v>
      </c>
      <c r="L10" s="2">
        <f t="shared" si="0"/>
        <v>111</v>
      </c>
      <c r="M10" s="2">
        <f t="shared" si="0"/>
        <v>111</v>
      </c>
      <c r="N10" s="2">
        <f t="shared" si="0"/>
        <v>111</v>
      </c>
      <c r="O10" s="2">
        <f t="shared" si="0"/>
        <v>111</v>
      </c>
      <c r="P10" s="2">
        <f t="shared" si="0"/>
        <v>111</v>
      </c>
      <c r="Q10" s="2">
        <f t="shared" si="0"/>
        <v>111</v>
      </c>
      <c r="R10" s="2">
        <f t="shared" si="0"/>
        <v>111</v>
      </c>
      <c r="S10" s="2">
        <f t="shared" si="0"/>
        <v>111</v>
      </c>
      <c r="T10" s="2">
        <f t="shared" si="0"/>
        <v>111</v>
      </c>
      <c r="U10" s="2">
        <f t="shared" si="0"/>
        <v>111</v>
      </c>
      <c r="V10" s="2">
        <f t="shared" si="0"/>
        <v>111</v>
      </c>
      <c r="W10" s="2">
        <f t="shared" si="0"/>
        <v>111</v>
      </c>
      <c r="X10" s="2">
        <f t="shared" si="0"/>
        <v>111</v>
      </c>
      <c r="Y10" s="2">
        <f t="shared" si="0"/>
        <v>111</v>
      </c>
      <c r="Z10" s="2">
        <f t="shared" si="0"/>
        <v>111</v>
      </c>
      <c r="AA10" s="2">
        <f t="shared" si="0"/>
        <v>111</v>
      </c>
      <c r="AB10" s="2">
        <f>AA10*0.8</f>
        <v>88.800000000000011</v>
      </c>
      <c r="AC10" s="2">
        <f t="shared" ref="AC10:AG10" si="1">AB10*0.8</f>
        <v>71.040000000000006</v>
      </c>
      <c r="AD10" s="2">
        <f t="shared" si="1"/>
        <v>56.832000000000008</v>
      </c>
      <c r="AE10" s="2">
        <f t="shared" si="1"/>
        <v>45.465600000000009</v>
      </c>
      <c r="AF10" s="2">
        <f t="shared" si="1"/>
        <v>36.37248000000001</v>
      </c>
      <c r="AG10" s="2">
        <f t="shared" si="1"/>
        <v>29.097984000000011</v>
      </c>
      <c r="AH10" s="2" t="s">
        <v>0</v>
      </c>
      <c r="AI10" s="2">
        <v>0</v>
      </c>
      <c r="AJ10" s="2">
        <v>0</v>
      </c>
      <c r="AK10" s="2">
        <v>0</v>
      </c>
    </row>
    <row r="11" spans="1:38" x14ac:dyDescent="0.55000000000000004">
      <c r="A11" s="1" t="s">
        <v>1</v>
      </c>
      <c r="B11" s="2">
        <v>912552.22</v>
      </c>
      <c r="C11" s="2">
        <v>9119857.2300000004</v>
      </c>
      <c r="D11" s="2">
        <v>9754842.9199999981</v>
      </c>
      <c r="E11" s="2">
        <v>9664212.5699999984</v>
      </c>
      <c r="F11" s="2">
        <v>10471067.909999998</v>
      </c>
      <c r="G11" s="2">
        <v>10471067.909999998</v>
      </c>
      <c r="H11" s="2">
        <v>170872.66</v>
      </c>
      <c r="I11" s="2">
        <v>170872.66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</row>
    <row r="12" spans="1:38" x14ac:dyDescent="0.55000000000000004">
      <c r="A12" s="1" t="s">
        <v>2</v>
      </c>
      <c r="B12" s="2">
        <v>30000</v>
      </c>
      <c r="C12" s="2">
        <v>30001</v>
      </c>
      <c r="D12" s="2">
        <v>30002</v>
      </c>
      <c r="E12" s="2">
        <v>30003</v>
      </c>
      <c r="F12" s="2">
        <v>30004</v>
      </c>
      <c r="G12" s="2">
        <v>30005</v>
      </c>
      <c r="H12" s="2">
        <v>30006</v>
      </c>
      <c r="I12" s="2">
        <v>30007</v>
      </c>
      <c r="J12" s="2">
        <v>30008</v>
      </c>
      <c r="K12" s="2">
        <v>30009</v>
      </c>
      <c r="L12" s="2">
        <v>30010</v>
      </c>
      <c r="M12" s="2">
        <v>30011</v>
      </c>
      <c r="N12" s="2">
        <v>30012</v>
      </c>
      <c r="O12" s="2">
        <v>30013</v>
      </c>
      <c r="P12" s="2">
        <v>30014</v>
      </c>
      <c r="Q12" s="2">
        <v>30015</v>
      </c>
      <c r="R12" s="2">
        <v>30016</v>
      </c>
      <c r="S12" s="2">
        <v>30017</v>
      </c>
      <c r="T12" s="2">
        <v>30018</v>
      </c>
      <c r="U12" s="2">
        <v>30019</v>
      </c>
      <c r="V12" s="2">
        <v>30020</v>
      </c>
      <c r="W12" s="2">
        <v>30021</v>
      </c>
      <c r="X12" s="2">
        <v>30022</v>
      </c>
      <c r="Y12" s="2">
        <v>30023</v>
      </c>
      <c r="Z12" s="2">
        <v>30024</v>
      </c>
      <c r="AA12" s="2">
        <v>30025</v>
      </c>
      <c r="AB12" s="2">
        <v>30026</v>
      </c>
      <c r="AC12" s="2">
        <v>30027</v>
      </c>
      <c r="AD12" s="2">
        <v>30028</v>
      </c>
      <c r="AE12" s="2">
        <v>30029</v>
      </c>
      <c r="AF12" s="2">
        <v>30030</v>
      </c>
      <c r="AG12" s="2">
        <v>30031</v>
      </c>
      <c r="AH12" s="2">
        <v>0</v>
      </c>
      <c r="AI12" s="2">
        <v>0</v>
      </c>
      <c r="AJ12" s="2">
        <v>0</v>
      </c>
      <c r="AK12" s="2">
        <v>0</v>
      </c>
    </row>
    <row r="13" spans="1:38" x14ac:dyDescent="0.55000000000000004">
      <c r="A13" s="1" t="s">
        <v>12</v>
      </c>
      <c r="B13" s="2">
        <f>(B14+B11+B12)*1.3</f>
        <v>335579.47149999993</v>
      </c>
      <c r="C13" s="2">
        <f t="shared" ref="C13:AG13" si="2">(C14+C11+C12)*1.3</f>
        <v>6743544.6026162496</v>
      </c>
      <c r="D13" s="2">
        <f t="shared" si="2"/>
        <v>14791727.406322977</v>
      </c>
      <c r="E13" s="2">
        <f t="shared" si="2"/>
        <v>17333535.774353221</v>
      </c>
      <c r="F13" s="2">
        <f t="shared" si="2"/>
        <v>19244727.259051234</v>
      </c>
      <c r="G13" s="2">
        <f t="shared" si="2"/>
        <v>19800083.415517811</v>
      </c>
      <c r="H13" s="2">
        <f t="shared" si="2"/>
        <v>9107961.0592966266</v>
      </c>
      <c r="I13" s="2">
        <f t="shared" si="2"/>
        <v>8377102.6896507107</v>
      </c>
      <c r="J13" s="2">
        <f t="shared" si="2"/>
        <v>7471174.6028590258</v>
      </c>
      <c r="K13" s="2">
        <f t="shared" si="2"/>
        <v>6830523.8054387756</v>
      </c>
      <c r="L13" s="2">
        <f t="shared" si="2"/>
        <v>6562458.6228789845</v>
      </c>
      <c r="M13" s="2">
        <f t="shared" si="2"/>
        <v>6263838.5526705682</v>
      </c>
      <c r="N13" s="2">
        <f t="shared" si="2"/>
        <v>5823305.5915643722</v>
      </c>
      <c r="O13" s="2">
        <f t="shared" si="2"/>
        <v>5651953.1235966673</v>
      </c>
      <c r="P13" s="2">
        <f t="shared" si="2"/>
        <v>5370453.7787949191</v>
      </c>
      <c r="Q13" s="2">
        <f t="shared" si="2"/>
        <v>4932016.6836422058</v>
      </c>
      <c r="R13" s="2">
        <f t="shared" si="2"/>
        <v>4643126.5998873934</v>
      </c>
      <c r="S13" s="2">
        <f t="shared" si="2"/>
        <v>4169156.7373235226</v>
      </c>
      <c r="T13" s="2">
        <f t="shared" si="2"/>
        <v>3450335.3844207874</v>
      </c>
      <c r="U13" s="2">
        <f t="shared" si="2"/>
        <v>2711647.5628167936</v>
      </c>
      <c r="V13" s="2">
        <f t="shared" si="2"/>
        <v>1647818.2979523859</v>
      </c>
      <c r="W13" s="2">
        <f t="shared" si="2"/>
        <v>425613.48925565003</v>
      </c>
      <c r="X13" s="2">
        <f t="shared" si="2"/>
        <v>290734.12579537334</v>
      </c>
      <c r="Y13" s="2">
        <f t="shared" si="2"/>
        <v>258154.75420453859</v>
      </c>
      <c r="Z13" s="2">
        <f t="shared" si="2"/>
        <v>127339.36502226056</v>
      </c>
      <c r="AA13" s="2">
        <f t="shared" si="2"/>
        <v>200738.3390293385</v>
      </c>
      <c r="AB13" s="2">
        <f t="shared" si="2"/>
        <v>184709.12808958394</v>
      </c>
      <c r="AC13" s="2">
        <f t="shared" si="2"/>
        <v>51003.037736952094</v>
      </c>
      <c r="AD13" s="2">
        <f t="shared" si="2"/>
        <v>60794.013783405928</v>
      </c>
      <c r="AE13" s="2">
        <f t="shared" si="2"/>
        <v>53991.70281619145</v>
      </c>
      <c r="AF13" s="2">
        <f t="shared" si="2"/>
        <v>37071.570826910465</v>
      </c>
      <c r="AG13" s="2">
        <f t="shared" si="2"/>
        <v>38779.401161672286</v>
      </c>
      <c r="AH13" s="2">
        <v>0</v>
      </c>
      <c r="AI13" s="2">
        <v>0</v>
      </c>
      <c r="AJ13" s="2">
        <v>0</v>
      </c>
      <c r="AK13" s="2">
        <v>0</v>
      </c>
    </row>
    <row r="14" spans="1:38" x14ac:dyDescent="0.55000000000000004">
      <c r="A14" s="1" t="s">
        <v>3</v>
      </c>
      <c r="B14" s="2">
        <v>-684414.16500000004</v>
      </c>
      <c r="C14" s="2">
        <v>-3962516.2279875008</v>
      </c>
      <c r="D14" s="2">
        <v>1593406.9310176764</v>
      </c>
      <c r="E14" s="2">
        <v>3639273.4871947877</v>
      </c>
      <c r="F14" s="2">
        <v>4302564.4431163352</v>
      </c>
      <c r="G14" s="2">
        <v>4729760.4865521621</v>
      </c>
      <c r="H14" s="2">
        <v>6805245.2317666356</v>
      </c>
      <c r="I14" s="2">
        <v>6243045.4858851619</v>
      </c>
      <c r="J14" s="2">
        <v>5717049.3868146352</v>
      </c>
      <c r="K14" s="2">
        <v>5224240.0811067503</v>
      </c>
      <c r="L14" s="2">
        <v>5018035.0945222955</v>
      </c>
      <c r="M14" s="2">
        <v>4788326.3482081294</v>
      </c>
      <c r="N14" s="2">
        <v>4449453.8396649016</v>
      </c>
      <c r="O14" s="2">
        <v>4317643.2489205133</v>
      </c>
      <c r="P14" s="2">
        <v>4101104.2913807072</v>
      </c>
      <c r="Q14" s="2">
        <v>3763843.9874170809</v>
      </c>
      <c r="R14" s="2">
        <v>3541619.8460672256</v>
      </c>
      <c r="S14" s="2">
        <v>3177026.6440950171</v>
      </c>
      <c r="T14" s="2">
        <v>2624086.1418621442</v>
      </c>
      <c r="U14" s="2">
        <v>2055863.7406283026</v>
      </c>
      <c r="V14" s="2">
        <v>1237532.5368864506</v>
      </c>
      <c r="W14" s="2">
        <v>297373.99173511541</v>
      </c>
      <c r="X14" s="2">
        <v>193619.63522721024</v>
      </c>
      <c r="Y14" s="2">
        <v>168557.58015733736</v>
      </c>
      <c r="Z14" s="2">
        <v>67929.357709431206</v>
      </c>
      <c r="AA14" s="2">
        <v>124389.10694564501</v>
      </c>
      <c r="AB14" s="2">
        <v>112057.94468429535</v>
      </c>
      <c r="AC14" s="2">
        <v>9206.1059515016095</v>
      </c>
      <c r="AD14" s="2">
        <v>16736.625987235326</v>
      </c>
      <c r="AE14" s="2">
        <v>11503.079089378036</v>
      </c>
      <c r="AF14" s="2">
        <v>-1513.4070562227207</v>
      </c>
      <c r="AG14" s="2">
        <v>-200.69141409823908</v>
      </c>
      <c r="AH14" s="2">
        <v>0</v>
      </c>
      <c r="AI14" s="2">
        <v>0</v>
      </c>
      <c r="AJ14" s="2">
        <v>0</v>
      </c>
      <c r="AK1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tabSelected="1" workbookViewId="0">
      <selection activeCell="B26" sqref="B26"/>
    </sheetView>
  </sheetViews>
  <sheetFormatPr defaultRowHeight="14.4" x14ac:dyDescent="0.55000000000000004"/>
  <cols>
    <col min="1" max="1" width="25.1015625" customWidth="1"/>
    <col min="2" max="2" width="10.68359375" bestFit="1" customWidth="1"/>
  </cols>
  <sheetData>
    <row r="1" spans="1:37" x14ac:dyDescent="0.55000000000000004">
      <c r="A1" s="1" t="s">
        <v>4</v>
      </c>
      <c r="B1" s="2" t="s">
        <v>13</v>
      </c>
    </row>
    <row r="2" spans="1:37" x14ac:dyDescent="0.55000000000000004">
      <c r="A2" s="1" t="s">
        <v>5</v>
      </c>
      <c r="B2" s="2">
        <v>2030</v>
      </c>
    </row>
    <row r="3" spans="1:37" x14ac:dyDescent="0.55000000000000004">
      <c r="A3" s="1" t="s">
        <v>6</v>
      </c>
      <c r="B3" s="2">
        <v>2035</v>
      </c>
    </row>
    <row r="5" spans="1:37" x14ac:dyDescent="0.55000000000000004">
      <c r="A5" s="1"/>
      <c r="B5" s="1">
        <v>2025</v>
      </c>
      <c r="C5" s="1">
        <v>2026</v>
      </c>
      <c r="D5" s="1">
        <v>2027</v>
      </c>
      <c r="E5" s="1">
        <v>2028</v>
      </c>
      <c r="F5" s="1">
        <v>2029</v>
      </c>
      <c r="G5" s="1">
        <v>2030</v>
      </c>
      <c r="H5" s="1">
        <v>2031</v>
      </c>
      <c r="I5" s="1">
        <v>2032</v>
      </c>
      <c r="J5" s="1">
        <v>2033</v>
      </c>
      <c r="K5" s="1">
        <v>2034</v>
      </c>
      <c r="L5" s="1">
        <v>2035</v>
      </c>
      <c r="M5" s="1">
        <v>2036</v>
      </c>
      <c r="N5" s="1">
        <v>2037</v>
      </c>
      <c r="O5" s="1">
        <v>2038</v>
      </c>
      <c r="P5" s="1">
        <v>2039</v>
      </c>
      <c r="Q5" s="1">
        <v>2040</v>
      </c>
      <c r="R5" s="1">
        <v>2041</v>
      </c>
      <c r="S5" s="1">
        <v>2042</v>
      </c>
      <c r="T5" s="1">
        <v>2043</v>
      </c>
      <c r="U5" s="1">
        <v>2044</v>
      </c>
      <c r="V5" s="1">
        <v>2045</v>
      </c>
      <c r="W5" s="1">
        <v>2046</v>
      </c>
      <c r="X5" s="1">
        <v>2047</v>
      </c>
      <c r="Y5" s="1">
        <v>2048</v>
      </c>
      <c r="Z5" s="1">
        <v>2049</v>
      </c>
      <c r="AA5" s="1">
        <v>2050</v>
      </c>
      <c r="AB5" s="1">
        <v>2051</v>
      </c>
      <c r="AC5" s="1">
        <v>2052</v>
      </c>
      <c r="AD5" s="1">
        <v>2053</v>
      </c>
      <c r="AE5" s="1">
        <v>2054</v>
      </c>
      <c r="AF5" s="1">
        <v>2055</v>
      </c>
      <c r="AG5" s="1">
        <v>2056</v>
      </c>
      <c r="AH5" s="1">
        <v>2057</v>
      </c>
      <c r="AI5" s="1">
        <v>2058</v>
      </c>
      <c r="AJ5" s="1">
        <v>2059</v>
      </c>
      <c r="AK5" s="1">
        <v>2060</v>
      </c>
    </row>
    <row r="6" spans="1:37" x14ac:dyDescent="0.55000000000000004">
      <c r="A6" s="1" t="s">
        <v>7</v>
      </c>
      <c r="B6" s="2">
        <v>2000000</v>
      </c>
      <c r="C6" s="2">
        <v>2000000</v>
      </c>
      <c r="D6" s="2">
        <v>2000000</v>
      </c>
      <c r="E6" s="2">
        <v>2000000</v>
      </c>
      <c r="F6" s="2">
        <v>2000000</v>
      </c>
      <c r="G6" s="2">
        <v>2000000</v>
      </c>
      <c r="H6" s="2">
        <v>2000000</v>
      </c>
      <c r="I6" s="2">
        <v>2000000</v>
      </c>
      <c r="J6" s="2">
        <v>2000000</v>
      </c>
      <c r="K6" s="2">
        <v>2000000</v>
      </c>
      <c r="L6" s="2">
        <v>2000000</v>
      </c>
      <c r="M6" s="2">
        <v>2000000</v>
      </c>
      <c r="N6" s="2">
        <v>2000000</v>
      </c>
      <c r="O6" s="2">
        <v>2000000</v>
      </c>
      <c r="P6" s="2">
        <v>2000000</v>
      </c>
      <c r="Q6" s="2">
        <v>2000000</v>
      </c>
      <c r="R6" s="2">
        <v>2000000</v>
      </c>
      <c r="S6" s="2">
        <v>2000000</v>
      </c>
      <c r="T6" s="2">
        <v>2000000</v>
      </c>
      <c r="U6" s="2">
        <v>2000000</v>
      </c>
      <c r="V6" s="2">
        <v>2000000</v>
      </c>
      <c r="W6" s="2">
        <v>2000000</v>
      </c>
      <c r="X6" s="2">
        <v>2000000</v>
      </c>
      <c r="Y6" s="2">
        <v>2000000</v>
      </c>
      <c r="Z6" s="2">
        <v>2000000</v>
      </c>
      <c r="AA6" s="2">
        <v>2000000</v>
      </c>
      <c r="AB6" s="2">
        <v>2000000</v>
      </c>
      <c r="AC6" s="2">
        <v>2000000</v>
      </c>
      <c r="AD6" s="2">
        <v>2000000</v>
      </c>
      <c r="AE6" s="2">
        <v>2000000</v>
      </c>
      <c r="AF6" s="2">
        <v>2000000</v>
      </c>
      <c r="AG6" s="2">
        <v>2000000</v>
      </c>
      <c r="AH6" s="2">
        <v>2000000</v>
      </c>
      <c r="AI6" s="2">
        <v>2000000</v>
      </c>
      <c r="AJ6" s="2">
        <v>2000000</v>
      </c>
      <c r="AK6" s="2">
        <v>2000000</v>
      </c>
    </row>
    <row r="7" spans="1:37" x14ac:dyDescent="0.55000000000000004">
      <c r="A7" s="1" t="s">
        <v>8</v>
      </c>
      <c r="B7" s="2">
        <v>0</v>
      </c>
      <c r="C7" s="2">
        <v>950</v>
      </c>
      <c r="D7" s="2">
        <v>1600</v>
      </c>
      <c r="E7" s="2">
        <v>2100</v>
      </c>
      <c r="F7" s="2">
        <v>2300</v>
      </c>
      <c r="G7" s="2">
        <v>2200</v>
      </c>
      <c r="H7" s="2">
        <v>1900</v>
      </c>
      <c r="I7" s="2">
        <v>1600</v>
      </c>
      <c r="J7" s="2">
        <v>1450</v>
      </c>
      <c r="K7" s="2">
        <v>1400</v>
      </c>
      <c r="L7" s="2">
        <v>1380</v>
      </c>
      <c r="M7" s="2">
        <v>1370</v>
      </c>
      <c r="N7" s="2">
        <v>1350</v>
      </c>
      <c r="O7" s="2">
        <v>1330</v>
      </c>
      <c r="P7" s="2">
        <v>1300</v>
      </c>
      <c r="Q7" s="2">
        <v>1270</v>
      </c>
      <c r="R7" s="2">
        <v>1250</v>
      </c>
      <c r="S7" s="2">
        <v>1220</v>
      </c>
      <c r="T7" s="2">
        <v>1200</v>
      </c>
      <c r="U7" s="2">
        <v>1170</v>
      </c>
      <c r="V7" s="2">
        <v>1140</v>
      </c>
      <c r="W7" s="2">
        <v>1100</v>
      </c>
      <c r="X7" s="2">
        <v>1050</v>
      </c>
      <c r="Y7" s="2">
        <v>1000</v>
      </c>
      <c r="Z7" s="2">
        <v>950</v>
      </c>
      <c r="AA7" s="2">
        <v>850</v>
      </c>
      <c r="AB7" s="2">
        <v>750</v>
      </c>
      <c r="AC7" s="2">
        <v>600</v>
      </c>
      <c r="AD7" s="2">
        <v>400</v>
      </c>
      <c r="AE7" s="2">
        <v>200</v>
      </c>
      <c r="AF7" s="2">
        <v>50</v>
      </c>
      <c r="AG7" s="2">
        <v>5</v>
      </c>
      <c r="AH7" s="2">
        <v>0</v>
      </c>
      <c r="AI7" s="2">
        <v>0</v>
      </c>
      <c r="AJ7" s="2">
        <v>0</v>
      </c>
      <c r="AK7" s="2"/>
    </row>
    <row r="8" spans="1:37" x14ac:dyDescent="0.55000000000000004">
      <c r="A8" s="1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/>
    </row>
    <row r="9" spans="1:37" x14ac:dyDescent="0.55000000000000004">
      <c r="A9" s="1" t="s">
        <v>10</v>
      </c>
      <c r="B9" s="2">
        <v>0</v>
      </c>
      <c r="C9" s="2">
        <v>10</v>
      </c>
      <c r="D9" s="2">
        <v>12</v>
      </c>
      <c r="E9" s="2">
        <v>10</v>
      </c>
      <c r="F9" s="2">
        <v>9</v>
      </c>
      <c r="G9" s="2">
        <v>6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/>
    </row>
    <row r="10" spans="1:37" x14ac:dyDescent="0.55000000000000004">
      <c r="A10" s="1" t="s">
        <v>11</v>
      </c>
      <c r="B10" s="2">
        <v>0</v>
      </c>
      <c r="C10" s="2">
        <v>5</v>
      </c>
      <c r="D10" s="2">
        <v>15</v>
      </c>
      <c r="E10" s="2">
        <v>30</v>
      </c>
      <c r="F10" s="2">
        <v>45</v>
      </c>
      <c r="G10" s="2">
        <v>60</v>
      </c>
      <c r="H10" s="2">
        <v>65</v>
      </c>
      <c r="I10" s="2">
        <v>68</v>
      </c>
      <c r="J10" s="2">
        <v>68</v>
      </c>
      <c r="K10" s="2">
        <v>68</v>
      </c>
      <c r="L10" s="2">
        <v>68</v>
      </c>
      <c r="M10" s="2">
        <v>68</v>
      </c>
      <c r="N10" s="2">
        <v>68</v>
      </c>
      <c r="O10" s="2">
        <v>68</v>
      </c>
      <c r="P10" s="2">
        <v>68</v>
      </c>
      <c r="Q10" s="2">
        <v>68</v>
      </c>
      <c r="R10" s="2">
        <v>68</v>
      </c>
      <c r="S10" s="2">
        <v>68</v>
      </c>
      <c r="T10" s="2">
        <v>68</v>
      </c>
      <c r="U10" s="2">
        <v>68</v>
      </c>
      <c r="V10" s="2">
        <v>68</v>
      </c>
      <c r="W10" s="2">
        <v>68</v>
      </c>
      <c r="X10" s="2">
        <v>68</v>
      </c>
      <c r="Y10" s="2">
        <v>68</v>
      </c>
      <c r="Z10" s="2">
        <v>68</v>
      </c>
      <c r="AA10" s="2">
        <v>60</v>
      </c>
      <c r="AB10" s="2">
        <v>50</v>
      </c>
      <c r="AC10" s="2">
        <v>40</v>
      </c>
      <c r="AD10" s="2">
        <v>30</v>
      </c>
      <c r="AE10" s="2">
        <v>20</v>
      </c>
      <c r="AF10" s="2">
        <v>10</v>
      </c>
      <c r="AG10" s="2">
        <v>5</v>
      </c>
      <c r="AH10" s="2">
        <v>0</v>
      </c>
      <c r="AI10" s="2">
        <v>0</v>
      </c>
      <c r="AJ10" s="2">
        <v>0</v>
      </c>
      <c r="AK10" s="2"/>
    </row>
    <row r="11" spans="1:37" x14ac:dyDescent="0.55000000000000004">
      <c r="A11" s="1" t="s">
        <v>1</v>
      </c>
      <c r="B11" s="2">
        <v>4999829125</v>
      </c>
      <c r="C11" s="2">
        <v>3000000</v>
      </c>
      <c r="D11" s="2">
        <v>3500000</v>
      </c>
      <c r="E11" s="2">
        <v>2000000</v>
      </c>
      <c r="F11" s="2">
        <v>1500000</v>
      </c>
      <c r="G11" s="2">
        <v>1000000</v>
      </c>
      <c r="H11" s="2">
        <v>500000</v>
      </c>
      <c r="I11" s="2">
        <v>100000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</row>
    <row r="12" spans="1:37" x14ac:dyDescent="0.55000000000000004">
      <c r="A12" s="1" t="s">
        <v>2</v>
      </c>
      <c r="B12" s="2">
        <v>20000</v>
      </c>
      <c r="C12" s="2">
        <v>25000</v>
      </c>
      <c r="D12" s="2">
        <v>26000</v>
      </c>
      <c r="E12" s="2">
        <v>27000</v>
      </c>
      <c r="F12" s="2">
        <v>28000</v>
      </c>
      <c r="G12" s="2">
        <v>29000</v>
      </c>
      <c r="H12" s="2">
        <v>30000</v>
      </c>
      <c r="I12" s="2">
        <v>31000</v>
      </c>
      <c r="J12" s="2">
        <v>32000</v>
      </c>
      <c r="K12" s="2">
        <v>33000</v>
      </c>
      <c r="L12" s="2">
        <v>34000</v>
      </c>
      <c r="M12" s="2">
        <v>35000</v>
      </c>
      <c r="N12" s="2">
        <v>36000</v>
      </c>
      <c r="O12" s="2">
        <v>37000</v>
      </c>
      <c r="P12" s="2">
        <v>38000</v>
      </c>
      <c r="Q12" s="2">
        <v>39000</v>
      </c>
      <c r="R12" s="2">
        <v>40000</v>
      </c>
      <c r="S12" s="2">
        <v>41000</v>
      </c>
      <c r="T12" s="2">
        <v>42000</v>
      </c>
      <c r="U12" s="2">
        <v>43000</v>
      </c>
      <c r="V12" s="2">
        <v>44000</v>
      </c>
      <c r="W12" s="2">
        <v>45000</v>
      </c>
      <c r="X12" s="2">
        <v>46000</v>
      </c>
      <c r="Y12" s="2">
        <v>47000</v>
      </c>
      <c r="Z12" s="2">
        <v>48000</v>
      </c>
      <c r="AA12" s="2">
        <v>49000</v>
      </c>
      <c r="AB12" s="2">
        <v>50000</v>
      </c>
      <c r="AC12" s="2">
        <v>51000</v>
      </c>
      <c r="AD12" s="2">
        <v>52000</v>
      </c>
      <c r="AE12" s="2">
        <v>53000</v>
      </c>
      <c r="AF12" s="2">
        <v>54000</v>
      </c>
      <c r="AG12" s="2">
        <v>55000</v>
      </c>
      <c r="AH12" s="2">
        <v>0</v>
      </c>
      <c r="AI12" s="2">
        <v>0</v>
      </c>
      <c r="AJ12" s="2">
        <v>0</v>
      </c>
      <c r="AK12" s="2"/>
    </row>
    <row r="13" spans="1:37" x14ac:dyDescent="0.55000000000000004">
      <c r="A13" s="1" t="s">
        <v>12</v>
      </c>
      <c r="B13" s="2">
        <v>0</v>
      </c>
      <c r="C13" s="2">
        <v>5000000</v>
      </c>
      <c r="D13" s="2">
        <v>9000000</v>
      </c>
      <c r="E13" s="2">
        <v>12000000</v>
      </c>
      <c r="F13" s="2">
        <v>13500000</v>
      </c>
      <c r="G13" s="2">
        <v>13000000</v>
      </c>
      <c r="H13" s="2">
        <v>11000000</v>
      </c>
      <c r="I13" s="2">
        <v>9500000</v>
      </c>
      <c r="J13" s="2">
        <v>8500000</v>
      </c>
      <c r="K13" s="2">
        <v>8000000</v>
      </c>
      <c r="L13" s="2">
        <v>7700000</v>
      </c>
      <c r="M13" s="2">
        <v>7400000</v>
      </c>
      <c r="N13" s="2">
        <v>7000000</v>
      </c>
      <c r="O13" s="2">
        <v>6800000</v>
      </c>
      <c r="P13" s="2">
        <v>6600000</v>
      </c>
      <c r="Q13" s="2">
        <v>6300000</v>
      </c>
      <c r="R13" s="2">
        <v>6000000</v>
      </c>
      <c r="S13" s="2">
        <v>5800000</v>
      </c>
      <c r="T13" s="2">
        <v>5500000</v>
      </c>
      <c r="U13" s="2">
        <v>5000000</v>
      </c>
      <c r="V13" s="2">
        <v>4500000</v>
      </c>
      <c r="W13" s="2">
        <v>4000000</v>
      </c>
      <c r="X13" s="2">
        <v>3500000</v>
      </c>
      <c r="Y13" s="2">
        <v>3000000</v>
      </c>
      <c r="Z13" s="2">
        <v>2500000</v>
      </c>
      <c r="AA13" s="2">
        <v>2000000</v>
      </c>
      <c r="AB13" s="2">
        <v>1500000</v>
      </c>
      <c r="AC13" s="2">
        <v>1000000</v>
      </c>
      <c r="AD13" s="2">
        <v>700000</v>
      </c>
      <c r="AE13" s="2">
        <v>300000</v>
      </c>
      <c r="AF13" s="2">
        <v>100000</v>
      </c>
      <c r="AG13" s="2">
        <v>20000</v>
      </c>
      <c r="AH13" s="2">
        <v>0</v>
      </c>
      <c r="AI13" s="2">
        <v>0</v>
      </c>
      <c r="AJ13" s="2">
        <v>0</v>
      </c>
      <c r="AK13" s="2"/>
    </row>
    <row r="14" spans="1:37" x14ac:dyDescent="0.55000000000000004">
      <c r="A14" s="1" t="s">
        <v>3</v>
      </c>
      <c r="B14" s="2">
        <v>-520000</v>
      </c>
      <c r="C14" s="2">
        <v>1975000</v>
      </c>
      <c r="D14" s="2">
        <v>5474000</v>
      </c>
      <c r="E14" s="2">
        <v>9753000</v>
      </c>
      <c r="F14" s="2">
        <v>11920000</v>
      </c>
      <c r="G14" s="2">
        <v>11810000</v>
      </c>
      <c r="H14" s="2">
        <v>10450000</v>
      </c>
      <c r="I14" s="2">
        <v>9389000</v>
      </c>
      <c r="J14" s="2">
        <v>8478000</v>
      </c>
      <c r="K14" s="2">
        <v>7967000</v>
      </c>
      <c r="L14" s="2">
        <v>7666000</v>
      </c>
      <c r="M14" s="2">
        <v>7365000</v>
      </c>
      <c r="N14" s="2">
        <v>6964000</v>
      </c>
      <c r="O14" s="2">
        <v>6743000</v>
      </c>
      <c r="P14" s="2">
        <v>6522000</v>
      </c>
      <c r="Q14" s="2">
        <v>6261000</v>
      </c>
      <c r="R14" s="2">
        <v>5960000</v>
      </c>
      <c r="S14" s="2">
        <v>5759000</v>
      </c>
      <c r="T14" s="2">
        <v>5468000</v>
      </c>
      <c r="U14" s="2">
        <v>4957000</v>
      </c>
      <c r="V14" s="2">
        <v>4456000</v>
      </c>
      <c r="W14" s="2">
        <v>3955000</v>
      </c>
      <c r="X14" s="2">
        <v>3444000</v>
      </c>
      <c r="Y14" s="2">
        <v>2933000</v>
      </c>
      <c r="Z14" s="2">
        <v>2422000</v>
      </c>
      <c r="AA14" s="2">
        <v>1911000</v>
      </c>
      <c r="AB14" s="2">
        <v>1400000</v>
      </c>
      <c r="AC14" s="2">
        <v>890000</v>
      </c>
      <c r="AD14" s="2">
        <v>648000</v>
      </c>
      <c r="AE14" s="2">
        <v>247000</v>
      </c>
      <c r="AF14" s="2">
        <v>46000</v>
      </c>
      <c r="AG14" s="2">
        <v>-35000</v>
      </c>
      <c r="AH14" s="2">
        <v>0</v>
      </c>
      <c r="AI14" s="2">
        <v>0</v>
      </c>
      <c r="AJ14" s="2">
        <v>0</v>
      </c>
      <c r="A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Pr1</vt:lpstr>
      <vt:lpstr>Pr2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2026-01-28T18:41:41Z</dcterms:modified>
</cp:coreProperties>
</file>